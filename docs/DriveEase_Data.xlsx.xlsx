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 Work\AICT Lab\final Project\"/>
    </mc:Choice>
  </mc:AlternateContent>
  <xr:revisionPtr revIDLastSave="0" documentId="13_ncr:1_{B82B46D4-16A4-4DF2-B690-70B95EC4DEE2}" xr6:coauthVersionLast="47" xr6:coauthVersionMax="47" xr10:uidLastSave="{00000000-0000-0000-0000-000000000000}"/>
  <bookViews>
    <workbookView xWindow="-108" yWindow="-108" windowWidth="23256" windowHeight="12456" xr2:uid="{94551FCF-9D4F-48DA-A7AC-938C558FC55D}"/>
  </bookViews>
  <sheets>
    <sheet name="Sheet1" sheetId="2" r:id="rId1"/>
    <sheet name="Sheet2" sheetId="3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E9" i="3"/>
  <c r="D9" i="3"/>
  <c r="G9" i="3" l="1"/>
  <c r="I9" i="3" s="1"/>
</calcChain>
</file>

<file path=xl/sharedStrings.xml><?xml version="1.0" encoding="utf-8"?>
<sst xmlns="http://schemas.openxmlformats.org/spreadsheetml/2006/main" count="95" uniqueCount="74">
  <si>
    <t>Car Names</t>
  </si>
  <si>
    <t>Suzuki Mehran</t>
  </si>
  <si>
    <t>Suzuki Alto</t>
  </si>
  <si>
    <t>Suzuki Cultus</t>
  </si>
  <si>
    <t>Toyota Corolla</t>
  </si>
  <si>
    <t>Honda Civic</t>
  </si>
  <si>
    <t>Honda City</t>
  </si>
  <si>
    <t>Changan Alsvin</t>
  </si>
  <si>
    <t>KIA Sportage</t>
  </si>
  <si>
    <t>Hyundai Tucson</t>
  </si>
  <si>
    <t>MG HS</t>
  </si>
  <si>
    <t>Haval H6</t>
  </si>
  <si>
    <t>BMW i7</t>
  </si>
  <si>
    <t>Nissan GTR</t>
  </si>
  <si>
    <t>Rent per Day</t>
  </si>
  <si>
    <t>Specifications</t>
  </si>
  <si>
    <t>Vehicle categories</t>
  </si>
  <si>
    <t>Price Ranges</t>
  </si>
  <si>
    <t>CAR-RENTAL-SERVICE</t>
  </si>
  <si>
    <t>Fuel Type</t>
  </si>
  <si>
    <t>Milage</t>
  </si>
  <si>
    <t>Transmission Type</t>
  </si>
  <si>
    <t>Suzuki Swift</t>
  </si>
  <si>
    <t>Mercedes S500</t>
  </si>
  <si>
    <t>Porsche Panamera</t>
  </si>
  <si>
    <t>1. Economical Cars</t>
  </si>
  <si>
    <t>2. Sedans</t>
  </si>
  <si>
    <t>3. SUVs</t>
  </si>
  <si>
    <t>4. Luxury Cars</t>
  </si>
  <si>
    <t>Rs 2000 - Rs 6000</t>
  </si>
  <si>
    <t>Rs 6000 - Rs 10000</t>
  </si>
  <si>
    <t>Rs 10000 - Rs 15000</t>
  </si>
  <si>
    <t>Rs 50000 - Rs 100000</t>
  </si>
  <si>
    <t>Petrol &amp; CNG</t>
  </si>
  <si>
    <t xml:space="preserve">Petrol </t>
  </si>
  <si>
    <t>Petrol</t>
  </si>
  <si>
    <t>10-12km/L</t>
  </si>
  <si>
    <t>19-22km/L</t>
  </si>
  <si>
    <t>5-Speed Manual</t>
  </si>
  <si>
    <t>4-Speed Manual</t>
  </si>
  <si>
    <t>15-17km/L</t>
  </si>
  <si>
    <t>5-Speed Manual / Automatic</t>
  </si>
  <si>
    <t>16-18km/L</t>
  </si>
  <si>
    <t>5-Speed Manual / CVT Automatic</t>
  </si>
  <si>
    <t>13-15km/L</t>
  </si>
  <si>
    <t>7-Speed Sport CVT/ Automatic</t>
  </si>
  <si>
    <t>6-Speed CVT/ Automatic</t>
  </si>
  <si>
    <t>13-16km/L</t>
  </si>
  <si>
    <t>CVT/ Automatic</t>
  </si>
  <si>
    <t>14-16km/L</t>
  </si>
  <si>
    <t>5-Speed Manual /Automatic</t>
  </si>
  <si>
    <t>Hybrid &amp; Petrol</t>
  </si>
  <si>
    <t>Automatic</t>
  </si>
  <si>
    <t>16-17km/L</t>
  </si>
  <si>
    <t>12-15km/L</t>
  </si>
  <si>
    <t>10-13km/L</t>
  </si>
  <si>
    <t>6-8km/L</t>
  </si>
  <si>
    <t>Electric &amp; Petrol</t>
  </si>
  <si>
    <t>8-10km/L</t>
  </si>
  <si>
    <t>6-Speed DCT</t>
  </si>
  <si>
    <t>(Rs)</t>
  </si>
  <si>
    <t>Total Vehicles : 16</t>
  </si>
  <si>
    <t>Price Range: Rs 2000 - Rs 100000</t>
  </si>
  <si>
    <t>Rent Calculator</t>
  </si>
  <si>
    <t>Enter Price of Vehicle per day</t>
  </si>
  <si>
    <t xml:space="preserve">Enter Number of Days </t>
  </si>
  <si>
    <t>Total Rent</t>
  </si>
  <si>
    <t>New Total Rent</t>
  </si>
  <si>
    <t>Additional Days</t>
  </si>
  <si>
    <t>Additional Charges per Day After Booking Date</t>
  </si>
  <si>
    <t>Fuel Tank (Ltrs)</t>
  </si>
  <si>
    <t>Engine Capacity (cc)</t>
  </si>
  <si>
    <t>Advance Rent (70%)</t>
  </si>
  <si>
    <t>Remaining Rent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</si>
</sst>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Constantia"/>
      <family val="1"/>
    </font>
    <font>
      <b/>
      <sz val="14"/>
      <color theme="1"/>
      <name val="Constantia"/>
      <family val="1"/>
    </font>
    <font>
      <i/>
      <sz val="11"/>
      <color theme="1"/>
      <name val="Calibri"/>
      <family val="2"/>
      <scheme val="minor"/>
    </font>
    <font>
      <b/>
      <i/>
      <sz val="11"/>
      <color theme="1"/>
      <name val="Tahoma"/>
      <family val="2"/>
    </font>
    <font>
      <b/>
      <sz val="8"/>
      <color theme="1"/>
      <name val="Calibri"/>
      <family val="2"/>
      <scheme val="minor"/>
    </font>
    <font>
      <b/>
      <sz val="18"/>
      <color theme="1"/>
      <name val="Constantia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vertical="center"/>
    </xf>
    <xf numFmtId="0" fontId="6" fillId="4" borderId="15" xfId="0" applyFont="1" applyFill="1" applyBorder="1" applyAlignment="1">
      <alignment vertical="center"/>
    </xf>
    <xf numFmtId="0" fontId="6" fillId="4" borderId="16" xfId="0" applyFont="1" applyFill="1" applyBorder="1" applyAlignment="1">
      <alignment vertical="center"/>
    </xf>
    <xf numFmtId="0" fontId="3" fillId="2" borderId="26" xfId="0" applyFont="1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Price</a:t>
            </a:r>
            <a:r>
              <a:rPr lang="en-US" baseline="0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Sheet1!$C$7</c:f>
              <c:strCache>
                <c:ptCount val="1"/>
                <c:pt idx="0">
                  <c:v>Suzuki Mehran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Sheet1!$D$7</c:f>
              <c:numCache>
                <c:formatCode>General</c:formatCode>
                <c:ptCount val="1"/>
                <c:pt idx="0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3-42F8-9B13-046B94027DBA}"/>
            </c:ext>
          </c:extLst>
        </c:ser>
        <c:ser>
          <c:idx val="1"/>
          <c:order val="1"/>
          <c:tx>
            <c:strRef>
              <c:f>Sheet1!$C$8</c:f>
              <c:strCache>
                <c:ptCount val="1"/>
                <c:pt idx="0">
                  <c:v>Suzuki Alto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Sheet1!$D$8</c:f>
              <c:numCache>
                <c:formatCode>General</c:formatCode>
                <c:ptCount val="1"/>
                <c:pt idx="0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E3-42F8-9B13-046B94027DBA}"/>
            </c:ext>
          </c:extLst>
        </c:ser>
        <c:ser>
          <c:idx val="2"/>
          <c:order val="2"/>
          <c:tx>
            <c:strRef>
              <c:f>Sheet1!$C$9</c:f>
              <c:strCache>
                <c:ptCount val="1"/>
                <c:pt idx="0">
                  <c:v>Suzuki Cultus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Sheet1!$D$9</c:f>
              <c:numCache>
                <c:formatCode>General</c:formatCode>
                <c:ptCount val="1"/>
                <c:pt idx="0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E3-42F8-9B13-046B94027DBA}"/>
            </c:ext>
          </c:extLst>
        </c:ser>
        <c:ser>
          <c:idx val="3"/>
          <c:order val="3"/>
          <c:tx>
            <c:strRef>
              <c:f>Sheet1!$C$10</c:f>
              <c:strCache>
                <c:ptCount val="1"/>
                <c:pt idx="0">
                  <c:v>Suzuki Swift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Sheet1!$D$10</c:f>
              <c:numCache>
                <c:formatCode>General</c:formatCode>
                <c:ptCount val="1"/>
                <c:pt idx="0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E3-42F8-9B13-046B94027DBA}"/>
            </c:ext>
          </c:extLst>
        </c:ser>
        <c:ser>
          <c:idx val="4"/>
          <c:order val="4"/>
          <c:tx>
            <c:strRef>
              <c:f>Sheet1!$C$11</c:f>
              <c:strCache>
                <c:ptCount val="1"/>
                <c:pt idx="0">
                  <c:v>Toyota Corolla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Sheet1!$D$11</c:f>
              <c:numCache>
                <c:formatCode>General</c:formatCode>
                <c:ptCount val="1"/>
                <c:pt idx="0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E3-42F8-9B13-046B94027DBA}"/>
            </c:ext>
          </c:extLst>
        </c:ser>
        <c:ser>
          <c:idx val="5"/>
          <c:order val="5"/>
          <c:tx>
            <c:strRef>
              <c:f>Sheet1!$C$12</c:f>
              <c:strCache>
                <c:ptCount val="1"/>
                <c:pt idx="0">
                  <c:v>Honda Civic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Sheet1!$D$12</c:f>
              <c:numCache>
                <c:formatCode>General</c:formatCode>
                <c:ptCount val="1"/>
                <c:pt idx="0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E3-42F8-9B13-046B94027DBA}"/>
            </c:ext>
          </c:extLst>
        </c:ser>
        <c:ser>
          <c:idx val="6"/>
          <c:order val="6"/>
          <c:tx>
            <c:strRef>
              <c:f>Sheet1!$C$13</c:f>
              <c:strCache>
                <c:ptCount val="1"/>
                <c:pt idx="0">
                  <c:v>Honda City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Sheet1!$D$13</c:f>
              <c:numCache>
                <c:formatCode>General</c:formatCode>
                <c:ptCount val="1"/>
                <c:pt idx="0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E3-42F8-9B13-046B94027DBA}"/>
            </c:ext>
          </c:extLst>
        </c:ser>
        <c:ser>
          <c:idx val="7"/>
          <c:order val="7"/>
          <c:tx>
            <c:strRef>
              <c:f>Sheet1!$C$14</c:f>
              <c:strCache>
                <c:ptCount val="1"/>
                <c:pt idx="0">
                  <c:v>Changan Alsvin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Sheet1!$D$14</c:f>
              <c:numCache>
                <c:formatCode>General</c:formatCode>
                <c:ptCount val="1"/>
                <c:pt idx="0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EE3-42F8-9B13-046B94027DBA}"/>
            </c:ext>
          </c:extLst>
        </c:ser>
        <c:ser>
          <c:idx val="8"/>
          <c:order val="8"/>
          <c:tx>
            <c:strRef>
              <c:f>Sheet1!$C$15</c:f>
              <c:strCache>
                <c:ptCount val="1"/>
                <c:pt idx="0">
                  <c:v>KIA Sportage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Sheet1!$D$15</c:f>
              <c:numCache>
                <c:formatCode>General</c:formatCode>
                <c:ptCount val="1"/>
                <c:pt idx="0">
                  <c:v>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E3-42F8-9B13-046B94027DBA}"/>
            </c:ext>
          </c:extLst>
        </c:ser>
        <c:ser>
          <c:idx val="9"/>
          <c:order val="9"/>
          <c:tx>
            <c:strRef>
              <c:f>Sheet1!$C$16</c:f>
              <c:strCache>
                <c:ptCount val="1"/>
                <c:pt idx="0">
                  <c:v>Hyundai Tucson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Sheet1!$D$16</c:f>
              <c:numCache>
                <c:formatCode>General</c:formatCode>
                <c:ptCount val="1"/>
                <c:pt idx="0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EE3-42F8-9B13-046B94027DBA}"/>
            </c:ext>
          </c:extLst>
        </c:ser>
        <c:ser>
          <c:idx val="10"/>
          <c:order val="10"/>
          <c:tx>
            <c:strRef>
              <c:f>Sheet1!$C$17</c:f>
              <c:strCache>
                <c:ptCount val="1"/>
                <c:pt idx="0">
                  <c:v>MG HS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Sheet1!$D$17</c:f>
              <c:numCache>
                <c:formatCode>General</c:formatCode>
                <c:ptCount val="1"/>
                <c:pt idx="0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EE3-42F8-9B13-046B94027DBA}"/>
            </c:ext>
          </c:extLst>
        </c:ser>
        <c:ser>
          <c:idx val="11"/>
          <c:order val="11"/>
          <c:tx>
            <c:strRef>
              <c:f>Sheet1!$C$18</c:f>
              <c:strCache>
                <c:ptCount val="1"/>
                <c:pt idx="0">
                  <c:v>Haval H6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Sheet1!$D$18</c:f>
              <c:numCache>
                <c:formatCode>General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EE3-42F8-9B13-046B94027DBA}"/>
            </c:ext>
          </c:extLst>
        </c:ser>
        <c:ser>
          <c:idx val="12"/>
          <c:order val="12"/>
          <c:tx>
            <c:strRef>
              <c:f>Sheet1!$C$19</c:f>
              <c:strCache>
                <c:ptCount val="1"/>
                <c:pt idx="0">
                  <c:v>Mercedes S500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Sheet1!$D$19</c:f>
              <c:numCache>
                <c:formatCode>General</c:formatCode>
                <c:ptCount val="1"/>
                <c:pt idx="0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EE3-42F8-9B13-046B94027DBA}"/>
            </c:ext>
          </c:extLst>
        </c:ser>
        <c:ser>
          <c:idx val="13"/>
          <c:order val="13"/>
          <c:tx>
            <c:strRef>
              <c:f>Sheet1!$C$20</c:f>
              <c:strCache>
                <c:ptCount val="1"/>
                <c:pt idx="0">
                  <c:v>BMW i7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Sheet1!$D$20</c:f>
              <c:numCache>
                <c:formatCode>General</c:formatCode>
                <c:ptCount val="1"/>
                <c:pt idx="0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EE3-42F8-9B13-046B94027DBA}"/>
            </c:ext>
          </c:extLst>
        </c:ser>
        <c:ser>
          <c:idx val="14"/>
          <c:order val="14"/>
          <c:tx>
            <c:strRef>
              <c:f>Sheet1!$C$21</c:f>
              <c:strCache>
                <c:ptCount val="1"/>
                <c:pt idx="0">
                  <c:v>Porsche Panamera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Sheet1!$D$21</c:f>
              <c:numCache>
                <c:formatCode>General</c:formatCode>
                <c:ptCount val="1"/>
                <c:pt idx="0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EE3-42F8-9B13-046B94027DBA}"/>
            </c:ext>
          </c:extLst>
        </c:ser>
        <c:ser>
          <c:idx val="15"/>
          <c:order val="15"/>
          <c:tx>
            <c:strRef>
              <c:f>Sheet1!$C$22</c:f>
              <c:strCache>
                <c:ptCount val="1"/>
                <c:pt idx="0">
                  <c:v>Nissan GTR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Sheet1!$D$22</c:f>
              <c:numCache>
                <c:formatCode>General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EE3-42F8-9B13-046B94027DB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80964543"/>
        <c:axId val="680958783"/>
      </c:barChart>
      <c:catAx>
        <c:axId val="680964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958783"/>
        <c:crosses val="autoZero"/>
        <c:auto val="1"/>
        <c:lblAlgn val="ctr"/>
        <c:lblOffset val="100"/>
        <c:noMultiLvlLbl val="0"/>
      </c:catAx>
      <c:valAx>
        <c:axId val="68095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96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Fuel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Sheet1!$C$7</c:f>
              <c:strCache>
                <c:ptCount val="1"/>
                <c:pt idx="0">
                  <c:v>Suzuki Mehran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Sheet1!$G$7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1-437C-BC00-DE247054E911}"/>
            </c:ext>
          </c:extLst>
        </c:ser>
        <c:ser>
          <c:idx val="1"/>
          <c:order val="1"/>
          <c:tx>
            <c:strRef>
              <c:f>Sheet1!$C$8</c:f>
              <c:strCache>
                <c:ptCount val="1"/>
                <c:pt idx="0">
                  <c:v>Suzuki Alto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Sheet1!$G$8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E1-437C-BC00-DE247054E911}"/>
            </c:ext>
          </c:extLst>
        </c:ser>
        <c:ser>
          <c:idx val="2"/>
          <c:order val="2"/>
          <c:tx>
            <c:strRef>
              <c:f>Sheet1!$C$9</c:f>
              <c:strCache>
                <c:ptCount val="1"/>
                <c:pt idx="0">
                  <c:v>Suzuki Cultus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Sheet1!$G$9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E1-437C-BC00-DE247054E911}"/>
            </c:ext>
          </c:extLst>
        </c:ser>
        <c:ser>
          <c:idx val="3"/>
          <c:order val="3"/>
          <c:tx>
            <c:strRef>
              <c:f>Sheet1!$C$10</c:f>
              <c:strCache>
                <c:ptCount val="1"/>
                <c:pt idx="0">
                  <c:v>Suzuki Swift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Sheet1!$G$10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E1-437C-BC00-DE247054E911}"/>
            </c:ext>
          </c:extLst>
        </c:ser>
        <c:ser>
          <c:idx val="4"/>
          <c:order val="4"/>
          <c:tx>
            <c:strRef>
              <c:f>Sheet1!$C$11</c:f>
              <c:strCache>
                <c:ptCount val="1"/>
                <c:pt idx="0">
                  <c:v>Toyota Corolla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Sheet1!$G$11</c:f>
              <c:numCache>
                <c:formatCode>General</c:formatCode>
                <c:ptCount val="1"/>
                <c:pt idx="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E1-437C-BC00-DE247054E911}"/>
            </c:ext>
          </c:extLst>
        </c:ser>
        <c:ser>
          <c:idx val="5"/>
          <c:order val="5"/>
          <c:tx>
            <c:strRef>
              <c:f>Sheet1!$C$12</c:f>
              <c:strCache>
                <c:ptCount val="1"/>
                <c:pt idx="0">
                  <c:v>Honda Civic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Sheet1!$G$12</c:f>
              <c:numCache>
                <c:formatCode>General</c:formatCode>
                <c:ptCount val="1"/>
                <c:pt idx="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E1-437C-BC00-DE247054E911}"/>
            </c:ext>
          </c:extLst>
        </c:ser>
        <c:ser>
          <c:idx val="6"/>
          <c:order val="6"/>
          <c:tx>
            <c:strRef>
              <c:f>Sheet1!$C$13</c:f>
              <c:strCache>
                <c:ptCount val="1"/>
                <c:pt idx="0">
                  <c:v>Honda City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Sheet1!$G$13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E1-437C-BC00-DE247054E911}"/>
            </c:ext>
          </c:extLst>
        </c:ser>
        <c:ser>
          <c:idx val="7"/>
          <c:order val="7"/>
          <c:tx>
            <c:strRef>
              <c:f>Sheet1!$C$14</c:f>
              <c:strCache>
                <c:ptCount val="1"/>
                <c:pt idx="0">
                  <c:v>Changan Alsvin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Sheet1!$G$14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E1-437C-BC00-DE247054E911}"/>
            </c:ext>
          </c:extLst>
        </c:ser>
        <c:ser>
          <c:idx val="8"/>
          <c:order val="8"/>
          <c:tx>
            <c:strRef>
              <c:f>Sheet1!$C$15</c:f>
              <c:strCache>
                <c:ptCount val="1"/>
                <c:pt idx="0">
                  <c:v>KIA Sportage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Sheet1!$G$15</c:f>
              <c:numCache>
                <c:formatCode>General</c:formatCode>
                <c:ptCount val="1"/>
                <c:pt idx="0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E1-437C-BC00-DE247054E911}"/>
            </c:ext>
          </c:extLst>
        </c:ser>
        <c:ser>
          <c:idx val="9"/>
          <c:order val="9"/>
          <c:tx>
            <c:strRef>
              <c:f>Sheet1!$C$16</c:f>
              <c:strCache>
                <c:ptCount val="1"/>
                <c:pt idx="0">
                  <c:v>Hyundai Tucson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Sheet1!$G$16</c:f>
              <c:numCache>
                <c:formatCode>General</c:formatCode>
                <c:ptCount val="1"/>
                <c:pt idx="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E1-437C-BC00-DE247054E911}"/>
            </c:ext>
          </c:extLst>
        </c:ser>
        <c:ser>
          <c:idx val="10"/>
          <c:order val="10"/>
          <c:tx>
            <c:strRef>
              <c:f>Sheet1!$C$17</c:f>
              <c:strCache>
                <c:ptCount val="1"/>
                <c:pt idx="0">
                  <c:v>MG HS</c:v>
                </c:pt>
              </c:strCache>
            </c:strRef>
          </c:tx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Sheet1!$G$17</c:f>
              <c:numCache>
                <c:formatCode>General</c:formatCode>
                <c:ptCount val="1"/>
                <c:pt idx="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E1-437C-BC00-DE247054E911}"/>
            </c:ext>
          </c:extLst>
        </c:ser>
        <c:ser>
          <c:idx val="11"/>
          <c:order val="11"/>
          <c:tx>
            <c:strRef>
              <c:f>Sheet1!$C$18</c:f>
              <c:strCache>
                <c:ptCount val="1"/>
                <c:pt idx="0">
                  <c:v>Haval H6</c:v>
                </c:pt>
              </c:strCache>
            </c:strRef>
          </c:tx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Sheet1!$G$18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E1-437C-BC00-DE247054E911}"/>
            </c:ext>
          </c:extLst>
        </c:ser>
        <c:ser>
          <c:idx val="12"/>
          <c:order val="12"/>
          <c:tx>
            <c:strRef>
              <c:f>Sheet1!$C$19</c:f>
              <c:strCache>
                <c:ptCount val="1"/>
                <c:pt idx="0">
                  <c:v>Mercedes S500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Sheet1!$G$19</c:f>
              <c:numCache>
                <c:formatCode>General</c:formatCode>
                <c:ptCount val="1"/>
                <c:pt idx="0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AE1-437C-BC00-DE247054E911}"/>
            </c:ext>
          </c:extLst>
        </c:ser>
        <c:ser>
          <c:idx val="13"/>
          <c:order val="13"/>
          <c:tx>
            <c:strRef>
              <c:f>Sheet1!$C$20</c:f>
              <c:strCache>
                <c:ptCount val="1"/>
                <c:pt idx="0">
                  <c:v>BMW i7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Sheet1!$G$20</c:f>
              <c:numCache>
                <c:formatCode>General</c:formatCode>
                <c:ptCount val="1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AE1-437C-BC00-DE247054E911}"/>
            </c:ext>
          </c:extLst>
        </c:ser>
        <c:ser>
          <c:idx val="14"/>
          <c:order val="14"/>
          <c:tx>
            <c:strRef>
              <c:f>Sheet1!$C$21</c:f>
              <c:strCache>
                <c:ptCount val="1"/>
                <c:pt idx="0">
                  <c:v>Porsche Panamera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Sheet1!$G$21</c:f>
              <c:numCache>
                <c:formatCode>General</c:formatCode>
                <c:ptCount val="1"/>
                <c:pt idx="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AE1-437C-BC00-DE247054E911}"/>
            </c:ext>
          </c:extLst>
        </c:ser>
        <c:ser>
          <c:idx val="15"/>
          <c:order val="15"/>
          <c:tx>
            <c:strRef>
              <c:f>Sheet1!$C$22</c:f>
              <c:strCache>
                <c:ptCount val="1"/>
                <c:pt idx="0">
                  <c:v>Nissan GTR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Sheet1!$G$22</c:f>
              <c:numCache>
                <c:formatCode>General</c:formatCode>
                <c:ptCount val="1"/>
                <c:pt idx="0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AE1-437C-BC00-DE247054E91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84461648"/>
        <c:axId val="1384478448"/>
      </c:barChart>
      <c:catAx>
        <c:axId val="138446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478448"/>
        <c:crosses val="autoZero"/>
        <c:auto val="1"/>
        <c:lblAlgn val="ctr"/>
        <c:lblOffset val="100"/>
        <c:noMultiLvlLbl val="0"/>
      </c:catAx>
      <c:valAx>
        <c:axId val="138447844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8446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Engine</a:t>
            </a:r>
            <a:r>
              <a:rPr lang="en-US" baseline="0"/>
              <a:t> Sizes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Sheet1!$C$7</c:f>
              <c:strCache>
                <c:ptCount val="1"/>
                <c:pt idx="0">
                  <c:v>Suzuki Mehran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Sheet1!$E$7</c:f>
              <c:numCache>
                <c:formatCode>General</c:formatCode>
                <c:ptCount val="1"/>
                <c:pt idx="0">
                  <c:v>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8-4021-A673-47131E4A22A7}"/>
            </c:ext>
          </c:extLst>
        </c:ser>
        <c:ser>
          <c:idx val="1"/>
          <c:order val="1"/>
          <c:tx>
            <c:strRef>
              <c:f>Sheet1!$C$8</c:f>
              <c:strCache>
                <c:ptCount val="1"/>
                <c:pt idx="0">
                  <c:v>Suzuki Alto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Sheet1!$E$8</c:f>
              <c:numCache>
                <c:formatCode>General</c:formatCode>
                <c:ptCount val="1"/>
                <c:pt idx="0">
                  <c:v>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B8-4021-A673-47131E4A22A7}"/>
            </c:ext>
          </c:extLst>
        </c:ser>
        <c:ser>
          <c:idx val="2"/>
          <c:order val="2"/>
          <c:tx>
            <c:strRef>
              <c:f>Sheet1!$C$9</c:f>
              <c:strCache>
                <c:ptCount val="1"/>
                <c:pt idx="0">
                  <c:v>Suzuki Cultus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Sheet1!$E$9</c:f>
              <c:numCache>
                <c:formatCode>General</c:formatCode>
                <c:ptCount val="1"/>
                <c:pt idx="0">
                  <c:v>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B8-4021-A673-47131E4A22A7}"/>
            </c:ext>
          </c:extLst>
        </c:ser>
        <c:ser>
          <c:idx val="3"/>
          <c:order val="3"/>
          <c:tx>
            <c:strRef>
              <c:f>Sheet1!$C$10</c:f>
              <c:strCache>
                <c:ptCount val="1"/>
                <c:pt idx="0">
                  <c:v>Suzuki Swift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Sheet1!$E$10</c:f>
              <c:numCache>
                <c:formatCode>General</c:formatCode>
                <c:ptCount val="1"/>
                <c:pt idx="0">
                  <c:v>1197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B8-4021-A673-47131E4A22A7}"/>
            </c:ext>
          </c:extLst>
        </c:ser>
        <c:ser>
          <c:idx val="4"/>
          <c:order val="4"/>
          <c:tx>
            <c:strRef>
              <c:f>Sheet1!$C$11</c:f>
              <c:strCache>
                <c:ptCount val="1"/>
                <c:pt idx="0">
                  <c:v>Toyota Corolla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Sheet1!$E$11</c:f>
              <c:numCache>
                <c:formatCode>General</c:formatCode>
                <c:ptCount val="1"/>
                <c:pt idx="0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B8-4021-A673-47131E4A22A7}"/>
            </c:ext>
          </c:extLst>
        </c:ser>
        <c:ser>
          <c:idx val="5"/>
          <c:order val="5"/>
          <c:tx>
            <c:strRef>
              <c:f>Sheet1!$C$12</c:f>
              <c:strCache>
                <c:ptCount val="1"/>
                <c:pt idx="0">
                  <c:v>Honda Civic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Sheet1!$E$12</c:f>
              <c:numCache>
                <c:formatCode>General</c:formatCode>
                <c:ptCount val="1"/>
                <c:pt idx="0">
                  <c:v>1498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B8-4021-A673-47131E4A22A7}"/>
            </c:ext>
          </c:extLst>
        </c:ser>
        <c:ser>
          <c:idx val="6"/>
          <c:order val="6"/>
          <c:tx>
            <c:strRef>
              <c:f>Sheet1!$C$13</c:f>
              <c:strCache>
                <c:ptCount val="1"/>
                <c:pt idx="0">
                  <c:v>Honda City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Sheet1!$E$13</c:f>
              <c:numCache>
                <c:formatCode>General</c:formatCode>
                <c:ptCount val="1"/>
                <c:pt idx="0">
                  <c:v>1497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B8-4021-A673-47131E4A22A7}"/>
            </c:ext>
          </c:extLst>
        </c:ser>
        <c:ser>
          <c:idx val="7"/>
          <c:order val="7"/>
          <c:tx>
            <c:strRef>
              <c:f>Sheet1!$C$14</c:f>
              <c:strCache>
                <c:ptCount val="1"/>
                <c:pt idx="0">
                  <c:v>Changan Alsvin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Sheet1!$E$14</c:f>
              <c:numCache>
                <c:formatCode>General</c:formatCode>
                <c:ptCount val="1"/>
                <c:pt idx="0">
                  <c:v>1480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B8-4021-A673-47131E4A22A7}"/>
            </c:ext>
          </c:extLst>
        </c:ser>
        <c:ser>
          <c:idx val="8"/>
          <c:order val="8"/>
          <c:tx>
            <c:strRef>
              <c:f>Sheet1!$C$15</c:f>
              <c:strCache>
                <c:ptCount val="1"/>
                <c:pt idx="0">
                  <c:v>KIA Sportage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Sheet1!$E$15</c:f>
              <c:numCache>
                <c:formatCode>General</c:formatCode>
                <c:ptCount val="1"/>
                <c:pt idx="0">
                  <c:v>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B8-4021-A673-47131E4A22A7}"/>
            </c:ext>
          </c:extLst>
        </c:ser>
        <c:ser>
          <c:idx val="9"/>
          <c:order val="9"/>
          <c:tx>
            <c:strRef>
              <c:f>Sheet1!$C$16</c:f>
              <c:strCache>
                <c:ptCount val="1"/>
                <c:pt idx="0">
                  <c:v>Hyundai Tucson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Sheet1!$E$16</c:f>
              <c:numCache>
                <c:formatCode>General</c:formatCode>
                <c:ptCount val="1"/>
                <c:pt idx="0">
                  <c:v>1590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5B8-4021-A673-47131E4A22A7}"/>
            </c:ext>
          </c:extLst>
        </c:ser>
        <c:ser>
          <c:idx val="10"/>
          <c:order val="10"/>
          <c:tx>
            <c:strRef>
              <c:f>Sheet1!$C$17</c:f>
              <c:strCache>
                <c:ptCount val="1"/>
                <c:pt idx="0">
                  <c:v>MG HS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Sheet1!$E$17</c:f>
              <c:numCache>
                <c:formatCode>General</c:formatCode>
                <c:ptCount val="1"/>
                <c:pt idx="0">
                  <c:v>1995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5B8-4021-A673-47131E4A22A7}"/>
            </c:ext>
          </c:extLst>
        </c:ser>
        <c:ser>
          <c:idx val="11"/>
          <c:order val="11"/>
          <c:tx>
            <c:strRef>
              <c:f>Sheet1!$C$18</c:f>
              <c:strCache>
                <c:ptCount val="1"/>
                <c:pt idx="0">
                  <c:v>Haval H6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Sheet1!$E$18</c:f>
              <c:numCache>
                <c:formatCode>General</c:formatCode>
                <c:ptCount val="1"/>
                <c:pt idx="0">
                  <c:v>1998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5B8-4021-A673-47131E4A22A7}"/>
            </c:ext>
          </c:extLst>
        </c:ser>
        <c:ser>
          <c:idx val="12"/>
          <c:order val="12"/>
          <c:tx>
            <c:strRef>
              <c:f>Sheet1!$C$19</c:f>
              <c:strCache>
                <c:ptCount val="1"/>
                <c:pt idx="0">
                  <c:v>Mercedes S500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Sheet1!$E$19</c:f>
              <c:numCache>
                <c:formatCode>General</c:formatCode>
                <c:ptCount val="1"/>
                <c:pt idx="0">
                  <c:v>4973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5B8-4021-A673-47131E4A22A7}"/>
            </c:ext>
          </c:extLst>
        </c:ser>
        <c:ser>
          <c:idx val="13"/>
          <c:order val="13"/>
          <c:tx>
            <c:strRef>
              <c:f>Sheet1!$C$20</c:f>
              <c:strCache>
                <c:ptCount val="1"/>
                <c:pt idx="0">
                  <c:v>BMW i7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Sheet1!$E$20</c:f>
              <c:numCache>
                <c:formatCode>General</c:formatCode>
                <c:ptCount val="1"/>
                <c:pt idx="0">
                  <c:v>2998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5B8-4021-A673-47131E4A22A7}"/>
            </c:ext>
          </c:extLst>
        </c:ser>
        <c:ser>
          <c:idx val="14"/>
          <c:order val="14"/>
          <c:tx>
            <c:strRef>
              <c:f>Sheet1!$C$21</c:f>
              <c:strCache>
                <c:ptCount val="1"/>
                <c:pt idx="0">
                  <c:v>Porsche Panamera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Sheet1!$E$21</c:f>
              <c:numCache>
                <c:formatCode>General</c:formatCode>
                <c:ptCount val="1"/>
                <c:pt idx="0">
                  <c:v>2995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5B8-4021-A673-47131E4A22A7}"/>
            </c:ext>
          </c:extLst>
        </c:ser>
        <c:ser>
          <c:idx val="15"/>
          <c:order val="15"/>
          <c:tx>
            <c:strRef>
              <c:f>Sheet1!$C$22</c:f>
              <c:strCache>
                <c:ptCount val="1"/>
                <c:pt idx="0">
                  <c:v>Nissan GTR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Sheet1!$E$22</c:f>
              <c:numCache>
                <c:formatCode>General</c:formatCode>
                <c:ptCount val="1"/>
                <c:pt idx="0">
                  <c:v>3799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5B8-4021-A673-47131E4A22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17142080"/>
        <c:axId val="1417140160"/>
      </c:barChart>
      <c:catAx>
        <c:axId val="141714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140160"/>
        <c:crosses val="autoZero"/>
        <c:auto val="1"/>
        <c:lblAlgn val="ctr"/>
        <c:lblOffset val="100"/>
        <c:noMultiLvlLbl val="0"/>
      </c:catAx>
      <c:valAx>
        <c:axId val="14171401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1714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</xdr:colOff>
      <xdr:row>4</xdr:row>
      <xdr:rowOff>15240</xdr:rowOff>
    </xdr:from>
    <xdr:to>
      <xdr:col>9</xdr:col>
      <xdr:colOff>266700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85437F-7F55-486F-861B-0D8991FBA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548640</xdr:colOff>
      <xdr:row>4</xdr:row>
      <xdr:rowOff>22860</xdr:rowOff>
    </xdr:from>
    <xdr:to>
      <xdr:col>18</xdr:col>
      <xdr:colOff>586740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C12580-2D45-43CF-9C0D-0EA2E9CB1F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268311</xdr:colOff>
      <xdr:row>23</xdr:row>
      <xdr:rowOff>128788</xdr:rowOff>
    </xdr:from>
    <xdr:to>
      <xdr:col>14</xdr:col>
      <xdr:colOff>558084</xdr:colOff>
      <xdr:row>42</xdr:row>
      <xdr:rowOff>182449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DE3024-2464-4D55-8DCD-FF82CDC9E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7BBA-80EA-462B-8B80-5B6DB54250F9}">
  <dimension ref="A3:AD29"/>
  <sheetViews>
    <sheetView tabSelected="1" zoomScale="74" zoomScaleNormal="160" workbookViewId="0">
      <selection activeCell="L26" sqref="L26"/>
    </sheetView>
  </sheetViews>
  <sheetFormatPr defaultRowHeight="14.4" x14ac:dyDescent="0.3"/>
  <cols>
    <col min="1" max="1" width="25.88671875" style="1" bestFit="1" customWidth="1"/>
    <col min="2" max="2" width="21.5546875" style="1" bestFit="1" customWidth="1"/>
    <col min="3" max="3" width="16.88671875" style="1" bestFit="1" customWidth="1"/>
    <col min="4" max="4" width="18" style="1" bestFit="1" customWidth="1"/>
    <col min="5" max="5" width="20.6640625" style="1" bestFit="1" customWidth="1"/>
    <col min="6" max="6" width="16.88671875" style="1" bestFit="1" customWidth="1"/>
    <col min="7" max="7" width="14.33203125" style="1" bestFit="1" customWidth="1"/>
    <col min="8" max="8" width="14.6640625" style="1" customWidth="1"/>
    <col min="9" max="9" width="34.21875" style="1" bestFit="1" customWidth="1"/>
    <col min="11" max="15" width="8.88671875" customWidth="1"/>
  </cols>
  <sheetData>
    <row r="3" spans="1:30" ht="15" thickBot="1" x14ac:dyDescent="0.35"/>
    <row r="4" spans="1:30" ht="18.600000000000001" thickBot="1" x14ac:dyDescent="0.35">
      <c r="A4" s="26" t="s">
        <v>18</v>
      </c>
      <c r="B4" s="27"/>
      <c r="C4" s="27"/>
      <c r="D4" s="27"/>
      <c r="E4" s="27"/>
      <c r="F4" s="27"/>
      <c r="G4" s="27"/>
      <c r="H4" s="27"/>
      <c r="I4" s="28"/>
    </row>
    <row r="5" spans="1:30" ht="15" thickBot="1" x14ac:dyDescent="0.35">
      <c r="A5" s="19" t="s">
        <v>16</v>
      </c>
      <c r="B5" s="19" t="s">
        <v>17</v>
      </c>
      <c r="C5" s="19" t="s">
        <v>0</v>
      </c>
      <c r="D5" s="19" t="s">
        <v>14</v>
      </c>
      <c r="E5" s="25" t="s">
        <v>15</v>
      </c>
      <c r="F5" s="25"/>
      <c r="G5" s="25"/>
      <c r="H5" s="25"/>
      <c r="I5" s="25"/>
    </row>
    <row r="6" spans="1:30" ht="15" thickBot="1" x14ac:dyDescent="0.35">
      <c r="A6" s="7"/>
      <c r="B6" s="7"/>
      <c r="C6" s="7"/>
      <c r="D6" s="20" t="s">
        <v>60</v>
      </c>
      <c r="E6" s="16" t="s">
        <v>71</v>
      </c>
      <c r="F6" s="17" t="s">
        <v>19</v>
      </c>
      <c r="G6" s="17" t="s">
        <v>70</v>
      </c>
      <c r="H6" s="17" t="s">
        <v>20</v>
      </c>
      <c r="I6" s="18" t="s">
        <v>21</v>
      </c>
    </row>
    <row r="7" spans="1:30" x14ac:dyDescent="0.3">
      <c r="A7" s="29" t="s">
        <v>25</v>
      </c>
      <c r="B7" s="33" t="s">
        <v>29</v>
      </c>
      <c r="C7" s="12" t="s">
        <v>1</v>
      </c>
      <c r="D7" s="8">
        <v>2000</v>
      </c>
      <c r="E7" s="8">
        <v>760</v>
      </c>
      <c r="F7" s="8" t="s">
        <v>33</v>
      </c>
      <c r="G7" s="8">
        <v>30</v>
      </c>
      <c r="H7" s="8" t="s">
        <v>36</v>
      </c>
      <c r="I7" s="9" t="s">
        <v>39</v>
      </c>
    </row>
    <row r="8" spans="1:30" x14ac:dyDescent="0.3">
      <c r="A8" s="30"/>
      <c r="B8" s="34"/>
      <c r="C8" s="13" t="s">
        <v>2</v>
      </c>
      <c r="D8" s="3">
        <v>3000</v>
      </c>
      <c r="E8" s="3">
        <v>658</v>
      </c>
      <c r="F8" s="3" t="s">
        <v>34</v>
      </c>
      <c r="G8" s="3">
        <v>27</v>
      </c>
      <c r="H8" s="3" t="s">
        <v>37</v>
      </c>
      <c r="I8" s="10" t="s">
        <v>38</v>
      </c>
    </row>
    <row r="9" spans="1:30" x14ac:dyDescent="0.3">
      <c r="A9" s="30"/>
      <c r="B9" s="34"/>
      <c r="C9" s="14" t="s">
        <v>3</v>
      </c>
      <c r="D9" s="6">
        <v>5000</v>
      </c>
      <c r="E9" s="6">
        <v>998</v>
      </c>
      <c r="F9" s="6" t="s">
        <v>35</v>
      </c>
      <c r="G9" s="6">
        <v>35</v>
      </c>
      <c r="H9" s="6" t="s">
        <v>40</v>
      </c>
      <c r="I9" s="11" t="s">
        <v>41</v>
      </c>
    </row>
    <row r="10" spans="1:30" ht="15" thickBot="1" x14ac:dyDescent="0.35">
      <c r="A10" s="31"/>
      <c r="B10" s="35"/>
      <c r="C10" s="15" t="s">
        <v>22</v>
      </c>
      <c r="D10" s="4">
        <v>6000</v>
      </c>
      <c r="E10" s="4">
        <v>1197</v>
      </c>
      <c r="F10" s="4" t="s">
        <v>35</v>
      </c>
      <c r="G10" s="4">
        <v>37</v>
      </c>
      <c r="H10" s="4" t="s">
        <v>42</v>
      </c>
      <c r="I10" s="5" t="s">
        <v>43</v>
      </c>
    </row>
    <row r="11" spans="1:30" x14ac:dyDescent="0.3">
      <c r="A11" s="29" t="s">
        <v>26</v>
      </c>
      <c r="B11" s="33" t="s">
        <v>30</v>
      </c>
      <c r="C11" s="12" t="s">
        <v>4</v>
      </c>
      <c r="D11" s="8">
        <v>9000</v>
      </c>
      <c r="E11" s="8">
        <v>1800</v>
      </c>
      <c r="F11" s="8" t="s">
        <v>35</v>
      </c>
      <c r="G11" s="8">
        <v>55</v>
      </c>
      <c r="H11" s="8" t="s">
        <v>44</v>
      </c>
      <c r="I11" s="9" t="s">
        <v>45</v>
      </c>
    </row>
    <row r="12" spans="1:30" ht="16.8" customHeight="1" x14ac:dyDescent="0.4">
      <c r="A12" s="30"/>
      <c r="B12" s="34"/>
      <c r="C12" s="13" t="s">
        <v>5</v>
      </c>
      <c r="D12" s="3">
        <v>8000</v>
      </c>
      <c r="E12" s="3">
        <v>1498</v>
      </c>
      <c r="F12" s="3" t="s">
        <v>35</v>
      </c>
      <c r="G12" s="3">
        <v>47</v>
      </c>
      <c r="H12" s="3" t="s">
        <v>40</v>
      </c>
      <c r="I12" s="10" t="s">
        <v>46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3">
      <c r="A13" s="30"/>
      <c r="B13" s="34"/>
      <c r="C13" s="14" t="s">
        <v>6</v>
      </c>
      <c r="D13" s="6">
        <v>6500</v>
      </c>
      <c r="E13" s="6">
        <v>1497</v>
      </c>
      <c r="F13" s="6" t="s">
        <v>35</v>
      </c>
      <c r="G13" s="6">
        <v>40</v>
      </c>
      <c r="H13" s="6" t="s">
        <v>47</v>
      </c>
      <c r="I13" s="11" t="s">
        <v>48</v>
      </c>
    </row>
    <row r="14" spans="1:30" ht="15" thickBot="1" x14ac:dyDescent="0.35">
      <c r="A14" s="31"/>
      <c r="B14" s="35"/>
      <c r="C14" s="15" t="s">
        <v>7</v>
      </c>
      <c r="D14" s="4">
        <v>6500</v>
      </c>
      <c r="E14" s="4">
        <v>1480</v>
      </c>
      <c r="F14" s="4" t="s">
        <v>35</v>
      </c>
      <c r="G14" s="4">
        <v>45</v>
      </c>
      <c r="H14" s="4" t="s">
        <v>49</v>
      </c>
      <c r="I14" s="5" t="s">
        <v>50</v>
      </c>
    </row>
    <row r="15" spans="1:30" x14ac:dyDescent="0.3">
      <c r="A15" s="29" t="s">
        <v>27</v>
      </c>
      <c r="B15" s="33" t="s">
        <v>31</v>
      </c>
      <c r="C15" s="12" t="s">
        <v>8</v>
      </c>
      <c r="D15" s="8">
        <v>11000</v>
      </c>
      <c r="E15" s="8">
        <v>1999</v>
      </c>
      <c r="F15" s="8" t="s">
        <v>51</v>
      </c>
      <c r="G15" s="8">
        <v>53</v>
      </c>
      <c r="H15" s="8" t="s">
        <v>49</v>
      </c>
      <c r="I15" s="9" t="s">
        <v>52</v>
      </c>
    </row>
    <row r="16" spans="1:30" x14ac:dyDescent="0.3">
      <c r="A16" s="30"/>
      <c r="B16" s="34"/>
      <c r="C16" s="13" t="s">
        <v>9</v>
      </c>
      <c r="D16" s="3">
        <v>12000</v>
      </c>
      <c r="E16" s="3">
        <v>1590</v>
      </c>
      <c r="F16" s="3" t="s">
        <v>51</v>
      </c>
      <c r="G16" s="3">
        <v>55</v>
      </c>
      <c r="H16" s="3" t="s">
        <v>53</v>
      </c>
      <c r="I16" s="10" t="s">
        <v>52</v>
      </c>
    </row>
    <row r="17" spans="1:9" x14ac:dyDescent="0.3">
      <c r="A17" s="30"/>
      <c r="B17" s="34"/>
      <c r="C17" s="14" t="s">
        <v>10</v>
      </c>
      <c r="D17" s="6">
        <v>13000</v>
      </c>
      <c r="E17" s="6">
        <v>1995</v>
      </c>
      <c r="F17" s="6" t="s">
        <v>51</v>
      </c>
      <c r="G17" s="6">
        <v>55</v>
      </c>
      <c r="H17" s="6" t="s">
        <v>54</v>
      </c>
      <c r="I17" s="11" t="s">
        <v>52</v>
      </c>
    </row>
    <row r="18" spans="1:9" ht="15" thickBot="1" x14ac:dyDescent="0.35">
      <c r="A18" s="31"/>
      <c r="B18" s="35"/>
      <c r="C18" s="15" t="s">
        <v>11</v>
      </c>
      <c r="D18" s="4">
        <v>14000</v>
      </c>
      <c r="E18" s="4">
        <v>1998</v>
      </c>
      <c r="F18" s="4" t="s">
        <v>51</v>
      </c>
      <c r="G18" s="4">
        <v>60</v>
      </c>
      <c r="H18" s="4" t="s">
        <v>55</v>
      </c>
      <c r="I18" s="5" t="s">
        <v>52</v>
      </c>
    </row>
    <row r="19" spans="1:9" x14ac:dyDescent="0.3">
      <c r="A19" s="29" t="s">
        <v>28</v>
      </c>
      <c r="B19" s="33" t="s">
        <v>32</v>
      </c>
      <c r="C19" s="12" t="s">
        <v>23</v>
      </c>
      <c r="D19" s="8">
        <v>65000</v>
      </c>
      <c r="E19" s="8">
        <v>4973</v>
      </c>
      <c r="F19" s="8" t="s">
        <v>51</v>
      </c>
      <c r="G19" s="8">
        <v>78</v>
      </c>
      <c r="H19" s="8" t="s">
        <v>56</v>
      </c>
      <c r="I19" s="9" t="s">
        <v>52</v>
      </c>
    </row>
    <row r="20" spans="1:9" ht="14.4" customHeight="1" x14ac:dyDescent="0.3">
      <c r="A20" s="30"/>
      <c r="B20" s="34"/>
      <c r="C20" s="13" t="s">
        <v>12</v>
      </c>
      <c r="D20" s="3">
        <v>80000</v>
      </c>
      <c r="E20" s="3">
        <v>2998</v>
      </c>
      <c r="F20" s="3" t="s">
        <v>57</v>
      </c>
      <c r="G20" s="3">
        <v>70</v>
      </c>
      <c r="H20" s="3" t="s">
        <v>54</v>
      </c>
      <c r="I20" s="10" t="s">
        <v>52</v>
      </c>
    </row>
    <row r="21" spans="1:9" x14ac:dyDescent="0.3">
      <c r="A21" s="30"/>
      <c r="B21" s="34"/>
      <c r="C21" s="14" t="s">
        <v>24</v>
      </c>
      <c r="D21" s="6">
        <v>85000</v>
      </c>
      <c r="E21" s="6">
        <v>2995</v>
      </c>
      <c r="F21" s="6" t="s">
        <v>35</v>
      </c>
      <c r="G21" s="6">
        <v>75</v>
      </c>
      <c r="H21" s="6" t="s">
        <v>58</v>
      </c>
      <c r="I21" s="11" t="s">
        <v>52</v>
      </c>
    </row>
    <row r="22" spans="1:9" ht="15" thickBot="1" x14ac:dyDescent="0.35">
      <c r="A22" s="31"/>
      <c r="B22" s="35"/>
      <c r="C22" s="15" t="s">
        <v>13</v>
      </c>
      <c r="D22" s="4">
        <v>100000</v>
      </c>
      <c r="E22" s="4">
        <v>3799</v>
      </c>
      <c r="F22" s="4" t="s">
        <v>35</v>
      </c>
      <c r="G22" s="4">
        <v>74</v>
      </c>
      <c r="H22" s="4" t="s">
        <v>56</v>
      </c>
      <c r="I22" s="5" t="s">
        <v>59</v>
      </c>
    </row>
    <row r="23" spans="1:9" ht="28.8" customHeight="1" thickBot="1" x14ac:dyDescent="0.35">
      <c r="C23" s="24" t="s">
        <v>61</v>
      </c>
      <c r="D23" s="36" t="s">
        <v>62</v>
      </c>
      <c r="E23" s="37"/>
    </row>
    <row r="28" spans="1:9" ht="22.2" customHeight="1" x14ac:dyDescent="0.3"/>
    <row r="29" spans="1:9" ht="19.2" customHeight="1" x14ac:dyDescent="0.3"/>
  </sheetData>
  <mergeCells count="11">
    <mergeCell ref="A19:A22"/>
    <mergeCell ref="B7:B10"/>
    <mergeCell ref="B11:B14"/>
    <mergeCell ref="B15:B18"/>
    <mergeCell ref="B19:B22"/>
    <mergeCell ref="D23:E23"/>
    <mergeCell ref="E5:I5"/>
    <mergeCell ref="A4:I4"/>
    <mergeCell ref="A7:A10"/>
    <mergeCell ref="A11:A14"/>
    <mergeCell ref="A15:A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6BF7-E209-4549-828D-3999C85B5742}">
  <dimension ref="B6:I10"/>
  <sheetViews>
    <sheetView zoomScale="92" workbookViewId="0">
      <selection activeCell="B10" sqref="B10"/>
    </sheetView>
  </sheetViews>
  <sheetFormatPr defaultRowHeight="14.4" x14ac:dyDescent="0.3"/>
  <cols>
    <col min="2" max="2" width="29.88671875" customWidth="1"/>
    <col min="3" max="3" width="24.109375" customWidth="1"/>
    <col min="4" max="4" width="12" customWidth="1"/>
    <col min="5" max="5" width="19.6640625" customWidth="1"/>
    <col min="6" max="6" width="20.109375" customWidth="1"/>
    <col min="7" max="7" width="19.6640625" customWidth="1"/>
    <col min="8" max="8" width="16.88671875" customWidth="1"/>
    <col min="9" max="9" width="13.77734375" bestFit="1" customWidth="1"/>
  </cols>
  <sheetData>
    <row r="6" spans="2:9" ht="15" thickBot="1" x14ac:dyDescent="0.35"/>
    <row r="7" spans="2:9" ht="34.799999999999997" customHeight="1" thickTop="1" thickBot="1" x14ac:dyDescent="0.35">
      <c r="B7" s="38" t="s">
        <v>63</v>
      </c>
      <c r="C7" s="32"/>
      <c r="D7" s="32"/>
      <c r="E7" s="32"/>
      <c r="F7" s="32"/>
      <c r="G7" s="32"/>
      <c r="H7" s="32"/>
      <c r="I7" s="32"/>
    </row>
    <row r="8" spans="2:9" ht="58.8" customHeight="1" thickTop="1" thickBot="1" x14ac:dyDescent="0.35">
      <c r="B8" s="21" t="s">
        <v>64</v>
      </c>
      <c r="C8" s="21" t="s">
        <v>65</v>
      </c>
      <c r="D8" s="21" t="s">
        <v>66</v>
      </c>
      <c r="E8" s="21" t="s">
        <v>72</v>
      </c>
      <c r="F8" s="21" t="s">
        <v>73</v>
      </c>
      <c r="G8" s="22" t="s">
        <v>69</v>
      </c>
      <c r="H8" s="21" t="s">
        <v>68</v>
      </c>
      <c r="I8" s="21" t="s">
        <v>67</v>
      </c>
    </row>
    <row r="9" spans="2:9" ht="15.6" thickTop="1" thickBot="1" x14ac:dyDescent="0.35">
      <c r="B9" s="23"/>
      <c r="C9" s="23"/>
      <c r="D9" s="23">
        <f>C9*B9</f>
        <v>0</v>
      </c>
      <c r="E9" s="23">
        <f>C9*B9*70%</f>
        <v>0</v>
      </c>
      <c r="F9" s="23">
        <f>B9*C9*30%</f>
        <v>0</v>
      </c>
      <c r="G9" s="23">
        <f>(F9+E9)*3%</f>
        <v>0</v>
      </c>
      <c r="H9" s="23"/>
      <c r="I9" s="23">
        <f>H9*G9+D9+(H9*B9)</f>
        <v>0</v>
      </c>
    </row>
    <row r="10" spans="2:9" ht="15" thickTop="1" x14ac:dyDescent="0.3"/>
  </sheetData>
  <mergeCells count="1">
    <mergeCell ref="B7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0AC2-38CE-46FB-9AEB-8B47BCA5ABA7}">
  <dimension ref="A1"/>
  <sheetViews>
    <sheetView zoomScale="71" workbookViewId="0">
      <selection activeCell="P35" sqref="P3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</dc:creator>
  <cp:lastModifiedBy>Faran Sultan</cp:lastModifiedBy>
  <dcterms:created xsi:type="dcterms:W3CDTF">2025-12-26T09:33:07Z</dcterms:created>
  <dcterms:modified xsi:type="dcterms:W3CDTF">2026-01-03T10:33:21Z</dcterms:modified>
</cp:coreProperties>
</file>